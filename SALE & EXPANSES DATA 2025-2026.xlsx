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calcPr calcId="152511"/>
</workbook>
</file>

<file path=xl/calcChain.xml><?xml version="1.0" encoding="utf-8"?>
<calcChain xmlns="http://schemas.openxmlformats.org/spreadsheetml/2006/main">
  <c r="AV17" i="1" l="1"/>
  <c r="AU5" i="1" l="1"/>
  <c r="AU6" i="1"/>
  <c r="AU7" i="1"/>
  <c r="AU8" i="1"/>
  <c r="AU9" i="1"/>
  <c r="AU10" i="1"/>
  <c r="AU11" i="1"/>
  <c r="AU12" i="1"/>
  <c r="AU13" i="1"/>
  <c r="AU14" i="1"/>
  <c r="AU15" i="1"/>
  <c r="AU16" i="1"/>
  <c r="AU17" i="1"/>
  <c r="AU4" i="1"/>
  <c r="AT17" i="1"/>
  <c r="AT5" i="1"/>
  <c r="AT6" i="1"/>
  <c r="AT7" i="1"/>
  <c r="AT8" i="1"/>
  <c r="AT9" i="1"/>
  <c r="AT10" i="1"/>
  <c r="AT11" i="1"/>
  <c r="AT12" i="1"/>
  <c r="AT13" i="1"/>
  <c r="AT14" i="1"/>
  <c r="AT15" i="1"/>
  <c r="AT16" i="1"/>
  <c r="AT4" i="1"/>
  <c r="AR17" i="1"/>
  <c r="AS17" i="1" l="1"/>
  <c r="AS6" i="1"/>
  <c r="AA5" i="1" l="1"/>
  <c r="AA6" i="1"/>
  <c r="AA7" i="1"/>
  <c r="AA8" i="1"/>
  <c r="AA9" i="1"/>
  <c r="AA10" i="1"/>
  <c r="AA11" i="1"/>
  <c r="AA12" i="1"/>
  <c r="AA13" i="1"/>
  <c r="AA14" i="1"/>
  <c r="AA15" i="1"/>
  <c r="AA17" i="1"/>
  <c r="AA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4" i="1"/>
  <c r="X17" i="1"/>
  <c r="V5" i="1" l="1"/>
  <c r="V6" i="1"/>
  <c r="V7" i="1"/>
  <c r="V8" i="1"/>
  <c r="V9" i="1"/>
  <c r="V10" i="1"/>
  <c r="V11" i="1"/>
  <c r="V12" i="1"/>
  <c r="V13" i="1"/>
  <c r="V14" i="1"/>
  <c r="V15" i="1"/>
  <c r="V17" i="1"/>
  <c r="V4" i="1"/>
  <c r="S17" i="1"/>
  <c r="U17" i="1" s="1"/>
  <c r="U5" i="1"/>
  <c r="U6" i="1"/>
  <c r="U7" i="1"/>
  <c r="U8" i="1"/>
  <c r="U9" i="1"/>
  <c r="U10" i="1"/>
  <c r="U11" i="1"/>
  <c r="U12" i="1"/>
  <c r="U13" i="1"/>
  <c r="U14" i="1"/>
  <c r="U15" i="1"/>
  <c r="U16" i="1"/>
  <c r="U4" i="1"/>
  <c r="Q8" i="1" l="1"/>
  <c r="Q9" i="1"/>
  <c r="Q10" i="1"/>
  <c r="Q12" i="1"/>
  <c r="Q13" i="1"/>
  <c r="Q4" i="1"/>
  <c r="P5" i="1"/>
  <c r="Q5" i="1" s="1"/>
  <c r="P6" i="1"/>
  <c r="Q6" i="1" s="1"/>
  <c r="P7" i="1"/>
  <c r="Q7" i="1" s="1"/>
  <c r="P8" i="1"/>
  <c r="P9" i="1"/>
  <c r="P10" i="1"/>
  <c r="P11" i="1"/>
  <c r="P12" i="1"/>
  <c r="P13" i="1"/>
  <c r="P14" i="1"/>
  <c r="Q14" i="1" s="1"/>
  <c r="P15" i="1"/>
  <c r="Q15" i="1" s="1"/>
  <c r="P4" i="1"/>
  <c r="N17" i="1"/>
  <c r="P17" i="1" l="1"/>
  <c r="Q17" i="1" s="1"/>
  <c r="AP5" i="1" l="1"/>
  <c r="AP6" i="1"/>
  <c r="AP7" i="1"/>
  <c r="AP8" i="1"/>
  <c r="AP9" i="1"/>
  <c r="AP10" i="1"/>
  <c r="AP11" i="1"/>
  <c r="AP12" i="1"/>
  <c r="AP13" i="1"/>
  <c r="AP14" i="1"/>
  <c r="AP15" i="1"/>
  <c r="AP17" i="1"/>
  <c r="AP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4" i="1"/>
  <c r="AM17" i="1"/>
  <c r="AM14" i="1"/>
  <c r="AF5" i="1" l="1"/>
  <c r="AF6" i="1"/>
  <c r="AF7" i="1"/>
  <c r="AF8" i="1"/>
  <c r="AF10" i="1"/>
  <c r="AF11" i="1"/>
  <c r="AF12" i="1"/>
  <c r="AF13" i="1"/>
  <c r="AF14" i="1"/>
  <c r="AF15" i="1"/>
  <c r="AF17" i="1"/>
  <c r="AF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4" i="1"/>
  <c r="AC17" i="1"/>
  <c r="AK5" i="1" l="1"/>
  <c r="AK6" i="1"/>
  <c r="AK7" i="1"/>
  <c r="AK8" i="1"/>
  <c r="AK9" i="1"/>
  <c r="AK10" i="1"/>
  <c r="AK11" i="1"/>
  <c r="AK12" i="1"/>
  <c r="AK13" i="1"/>
  <c r="AK14" i="1"/>
  <c r="AK15" i="1"/>
  <c r="AK17" i="1"/>
  <c r="AK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4" i="1"/>
  <c r="AH17" i="1"/>
  <c r="AN5" i="1" l="1"/>
  <c r="AQ17" i="1" l="1"/>
  <c r="AI8" i="1" l="1"/>
  <c r="AN17" i="1"/>
  <c r="AN14" i="1"/>
  <c r="AL17" i="1" l="1"/>
  <c r="AL11" i="1"/>
  <c r="AI17" i="1"/>
  <c r="AI14" i="1"/>
  <c r="AI11" i="1"/>
  <c r="AI6" i="1"/>
  <c r="AG17" i="1" l="1"/>
  <c r="AD14" i="1"/>
  <c r="AD11" i="1"/>
  <c r="AD17" i="1" l="1"/>
  <c r="AD6" i="1"/>
  <c r="AB17" i="1" l="1"/>
  <c r="Y17" i="1"/>
  <c r="Y6" i="1"/>
  <c r="W17" i="1" l="1"/>
  <c r="T13" i="1"/>
  <c r="T6" i="1"/>
  <c r="T17" i="1" l="1"/>
  <c r="R17" i="1"/>
  <c r="G17" i="1" l="1"/>
  <c r="M17" i="1"/>
  <c r="K5" i="1" l="1"/>
  <c r="K6" i="1"/>
  <c r="L6" i="1" s="1"/>
  <c r="K7" i="1"/>
  <c r="L7" i="1" s="1"/>
  <c r="K8" i="1"/>
  <c r="L8" i="1" s="1"/>
  <c r="K9" i="1"/>
  <c r="L9" i="1" s="1"/>
  <c r="K10" i="1"/>
  <c r="L10" i="1" s="1"/>
  <c r="K11" i="1"/>
  <c r="L11" i="1" s="1"/>
  <c r="K12" i="1"/>
  <c r="L12" i="1" s="1"/>
  <c r="K13" i="1"/>
  <c r="L13" i="1" s="1"/>
  <c r="K14" i="1"/>
  <c r="L14" i="1" s="1"/>
  <c r="K15" i="1"/>
  <c r="L15" i="1" s="1"/>
  <c r="K16" i="1"/>
  <c r="K4" i="1"/>
  <c r="L4" i="1" s="1"/>
  <c r="I17" i="1"/>
  <c r="I9" i="1"/>
  <c r="K17" i="1" l="1"/>
  <c r="L17" i="1" s="1"/>
  <c r="H17" i="1" l="1"/>
  <c r="C17" i="1" l="1"/>
  <c r="G7" i="1"/>
  <c r="G8" i="1"/>
  <c r="G9" i="1"/>
  <c r="G10" i="1"/>
  <c r="G15" i="1"/>
  <c r="G4" i="1"/>
  <c r="F5" i="1"/>
  <c r="F6" i="1"/>
  <c r="G6" i="1" s="1"/>
  <c r="F7" i="1"/>
  <c r="F8" i="1"/>
  <c r="F9" i="1"/>
  <c r="F10" i="1"/>
  <c r="F11" i="1"/>
  <c r="G11" i="1" s="1"/>
  <c r="F12" i="1"/>
  <c r="G12" i="1" s="1"/>
  <c r="F13" i="1"/>
  <c r="G13" i="1" s="1"/>
  <c r="F14" i="1"/>
  <c r="G14" i="1" s="1"/>
  <c r="F15" i="1"/>
  <c r="F16" i="1"/>
  <c r="F4" i="1"/>
  <c r="F17" i="1" s="1"/>
  <c r="D17" i="1"/>
  <c r="E17" i="1" l="1"/>
  <c r="J14" i="1"/>
  <c r="J15" i="1"/>
  <c r="J12" i="1"/>
  <c r="J8" i="1"/>
  <c r="J11" i="1"/>
  <c r="J9" i="1"/>
  <c r="J4" i="1"/>
  <c r="J17" i="1" l="1"/>
  <c r="O17" i="1" l="1"/>
</calcChain>
</file>

<file path=xl/sharedStrings.xml><?xml version="1.0" encoding="utf-8"?>
<sst xmlns="http://schemas.openxmlformats.org/spreadsheetml/2006/main" count="77" uniqueCount="32">
  <si>
    <t>APRIL</t>
  </si>
  <si>
    <t>S.NO.</t>
  </si>
  <si>
    <t>STATE</t>
  </si>
  <si>
    <t>EXP</t>
  </si>
  <si>
    <t>ASSAM</t>
  </si>
  <si>
    <t>DELHI</t>
  </si>
  <si>
    <t>HARYANA</t>
  </si>
  <si>
    <t>HIMACHAL</t>
  </si>
  <si>
    <t>JAMMU</t>
  </si>
  <si>
    <t>M.P</t>
  </si>
  <si>
    <t>PUNJAB</t>
  </si>
  <si>
    <t>RAJASTHAN</t>
  </si>
  <si>
    <t>U.P</t>
  </si>
  <si>
    <t>U.K</t>
  </si>
  <si>
    <t>GUJRAT</t>
  </si>
  <si>
    <t xml:space="preserve">TOTAL </t>
  </si>
  <si>
    <t>MAY</t>
  </si>
  <si>
    <t>JUNE</t>
  </si>
  <si>
    <t>BIHAR</t>
  </si>
  <si>
    <t>NOC</t>
  </si>
  <si>
    <t>SALE</t>
  </si>
  <si>
    <t>SALARY</t>
  </si>
  <si>
    <t>TOTAL</t>
  </si>
  <si>
    <t>%</t>
  </si>
  <si>
    <t>2025-2026</t>
  </si>
  <si>
    <t>JULY</t>
  </si>
  <si>
    <t>AUGUST</t>
  </si>
  <si>
    <t>SEPTEMBER</t>
  </si>
  <si>
    <t>OCTOBER</t>
  </si>
  <si>
    <t>NOVEMBER</t>
  </si>
  <si>
    <t>DECEMBER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</si>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</sst>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0" xfId="0" applyFont="1"/>
    <xf numFmtId="0" fontId="3" fillId="0" borderId="4" xfId="0" applyFont="1" applyFill="1" applyBorder="1"/>
    <xf numFmtId="0" fontId="2" fillId="0" borderId="6" xfId="0" applyFont="1" applyBorder="1" applyAlignment="1">
      <alignment horizontal="center"/>
    </xf>
    <xf numFmtId="2" fontId="3" fillId="0" borderId="1" xfId="0" applyNumberFormat="1" applyFont="1" applyBorder="1"/>
    <xf numFmtId="0" fontId="4" fillId="0" borderId="0" xfId="0" applyFont="1" applyBorder="1" applyAlignment="1">
      <alignment horizontal="center"/>
    </xf>
    <xf numFmtId="2" fontId="1" fillId="0" borderId="1" xfId="0" applyNumberFormat="1" applyFont="1" applyBorder="1"/>
    <xf numFmtId="1" fontId="3" fillId="0" borderId="1" xfId="0" applyNumberFormat="1" applyFont="1" applyBorder="1"/>
    <xf numFmtId="1" fontId="1" fillId="0" borderId="1" xfId="0" applyNumberFormat="1" applyFont="1" applyBorder="1"/>
    <xf numFmtId="1" fontId="0" fillId="0" borderId="1" xfId="0" applyNumberFormat="1" applyBorder="1"/>
    <xf numFmtId="0" fontId="0" fillId="0" borderId="4" xfId="0" applyFill="1" applyBorder="1"/>
    <xf numFmtId="2" fontId="0" fillId="0" borderId="1" xfId="0" applyNumberFormat="1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7"/>
  <sheetViews>
    <sheetView tabSelected="1" workbookViewId="0">
      <pane xSplit="2" ySplit="3" topLeftCell="AJ4" activePane="bottomRight" state="frozen"/>
      <selection pane="topRight" activeCell="C1" sqref="C1"/>
      <selection pane="bottomLeft" activeCell="A4" sqref="A4"/>
      <selection pane="bottomRight" activeCell="AO20" sqref="AO20"/>
    </sheetView>
  </sheetViews>
  <sheetFormatPr defaultRowHeight="15" x14ac:dyDescent="0.25"/>
  <cols>
    <col min="2" max="2" width="13.7109375" bestFit="1" customWidth="1"/>
    <col min="3" max="3" width="10.5703125" customWidth="1"/>
    <col min="4" max="5" width="10.7109375" bestFit="1" customWidth="1"/>
    <col min="6" max="6" width="9.85546875" customWidth="1"/>
    <col min="7" max="7" width="7.7109375" bestFit="1" customWidth="1"/>
    <col min="8" max="8" width="9" customWidth="1"/>
    <col min="9" max="9" width="10.5703125" bestFit="1" customWidth="1"/>
    <col min="10" max="10" width="10.7109375" bestFit="1" customWidth="1"/>
    <col min="11" max="11" width="10.7109375" customWidth="1"/>
    <col min="12" max="12" width="7.140625" customWidth="1"/>
    <col min="13" max="13" width="10" customWidth="1"/>
    <col min="14" max="14" width="11.5703125" bestFit="1" customWidth="1"/>
    <col min="15" max="15" width="10.7109375" bestFit="1" customWidth="1"/>
    <col min="18" max="18" width="10.5703125" customWidth="1"/>
    <col min="19" max="19" width="10.5703125" bestFit="1" customWidth="1"/>
    <col min="22" max="22" width="7" customWidth="1"/>
    <col min="27" max="27" width="7.7109375" customWidth="1"/>
    <col min="28" max="28" width="10.28515625" customWidth="1"/>
    <col min="32" max="32" width="5.7109375" customWidth="1"/>
    <col min="33" max="33" width="10.7109375" customWidth="1"/>
    <col min="37" max="37" width="7.140625" customWidth="1"/>
    <col min="42" max="42" width="6" customWidth="1"/>
  </cols>
  <sheetData>
    <row r="1" spans="1:52" ht="15.75" customHeight="1" x14ac:dyDescent="0.3">
      <c r="B1" s="23" t="s">
        <v>24</v>
      </c>
      <c r="C1" s="23"/>
      <c r="D1" s="23"/>
      <c r="E1" s="23"/>
      <c r="F1" s="23"/>
      <c r="G1" s="23"/>
      <c r="H1" s="23"/>
      <c r="I1" s="23"/>
      <c r="J1" s="23"/>
      <c r="K1" s="11"/>
      <c r="L1" s="11"/>
      <c r="M1" s="11"/>
      <c r="N1" s="11"/>
    </row>
    <row r="2" spans="1:52" ht="15.75" x14ac:dyDescent="0.25">
      <c r="A2" s="19"/>
      <c r="B2" s="19"/>
      <c r="C2" s="20" t="s">
        <v>0</v>
      </c>
      <c r="D2" s="21"/>
      <c r="E2" s="22"/>
      <c r="F2" s="9"/>
      <c r="G2" s="9"/>
      <c r="H2" s="20" t="s">
        <v>16</v>
      </c>
      <c r="I2" s="21"/>
      <c r="J2" s="21"/>
      <c r="K2" s="21"/>
      <c r="L2" s="22"/>
      <c r="M2" s="24" t="s">
        <v>17</v>
      </c>
      <c r="N2" s="24"/>
      <c r="O2" s="24"/>
      <c r="P2" s="24"/>
      <c r="Q2" s="24"/>
      <c r="R2" s="24" t="s">
        <v>25</v>
      </c>
      <c r="S2" s="24"/>
      <c r="T2" s="24"/>
      <c r="U2" s="24"/>
      <c r="V2" s="24"/>
      <c r="W2" s="24" t="s">
        <v>26</v>
      </c>
      <c r="X2" s="24"/>
      <c r="Y2" s="24"/>
      <c r="Z2" s="24"/>
      <c r="AA2" s="24"/>
      <c r="AB2" s="24" t="s">
        <v>27</v>
      </c>
      <c r="AC2" s="24"/>
      <c r="AD2" s="24"/>
      <c r="AE2" s="24"/>
      <c r="AF2" s="24"/>
      <c r="AG2" s="24" t="s">
        <v>28</v>
      </c>
      <c r="AH2" s="24"/>
      <c r="AI2" s="24"/>
      <c r="AJ2" s="24"/>
      <c r="AK2" s="24"/>
      <c r="AL2" s="24" t="s">
        <v>29</v>
      </c>
      <c r="AM2" s="24"/>
      <c r="AN2" s="24"/>
      <c r="AO2" s="24"/>
      <c r="AP2" s="24"/>
      <c r="AQ2" s="24" t="s">
        <v>30</v>
      </c>
      <c r="AR2" s="24"/>
      <c r="AS2" s="24"/>
      <c r="AT2" s="24"/>
      <c r="AU2" s="24"/>
      <c r="AV2" s="24" t="s">
        <v>31</v>
      </c>
      <c r="AW2" s="24"/>
      <c r="AX2" s="24"/>
      <c r="AY2" s="24"/>
      <c r="AZ2" s="24"/>
    </row>
    <row r="3" spans="1:52" ht="15.75" x14ac:dyDescent="0.25">
      <c r="A3" s="1" t="s">
        <v>1</v>
      </c>
      <c r="B3" s="1" t="s">
        <v>2</v>
      </c>
      <c r="C3" s="1" t="s">
        <v>20</v>
      </c>
      <c r="D3" s="1" t="s">
        <v>21</v>
      </c>
      <c r="E3" s="1" t="s">
        <v>3</v>
      </c>
      <c r="F3" s="1" t="s">
        <v>22</v>
      </c>
      <c r="G3" s="5" t="s">
        <v>23</v>
      </c>
      <c r="H3" s="1" t="s">
        <v>20</v>
      </c>
      <c r="I3" s="1" t="s">
        <v>21</v>
      </c>
      <c r="J3" s="1" t="s">
        <v>3</v>
      </c>
      <c r="K3" s="1" t="s">
        <v>22</v>
      </c>
      <c r="L3" s="5" t="s">
        <v>23</v>
      </c>
      <c r="M3" s="1" t="s">
        <v>20</v>
      </c>
      <c r="N3" s="1" t="s">
        <v>21</v>
      </c>
      <c r="O3" s="1" t="s">
        <v>3</v>
      </c>
      <c r="P3" s="1" t="s">
        <v>22</v>
      </c>
      <c r="Q3" s="5" t="s">
        <v>23</v>
      </c>
      <c r="R3" s="1" t="s">
        <v>20</v>
      </c>
      <c r="S3" s="1" t="s">
        <v>21</v>
      </c>
      <c r="T3" s="1" t="s">
        <v>3</v>
      </c>
      <c r="U3" s="1" t="s">
        <v>22</v>
      </c>
      <c r="V3" s="5" t="s">
        <v>23</v>
      </c>
      <c r="W3" s="1" t="s">
        <v>20</v>
      </c>
      <c r="X3" s="1" t="s">
        <v>21</v>
      </c>
      <c r="Y3" s="1" t="s">
        <v>3</v>
      </c>
      <c r="Z3" s="1" t="s">
        <v>22</v>
      </c>
      <c r="AA3" s="5" t="s">
        <v>23</v>
      </c>
      <c r="AB3" s="1" t="s">
        <v>20</v>
      </c>
      <c r="AC3" s="1" t="s">
        <v>21</v>
      </c>
      <c r="AD3" s="1" t="s">
        <v>3</v>
      </c>
      <c r="AE3" s="1" t="s">
        <v>22</v>
      </c>
      <c r="AF3" s="5" t="s">
        <v>23</v>
      </c>
      <c r="AG3" s="1" t="s">
        <v>20</v>
      </c>
      <c r="AH3" s="1" t="s">
        <v>21</v>
      </c>
      <c r="AI3" s="1" t="s">
        <v>3</v>
      </c>
      <c r="AJ3" s="1" t="s">
        <v>22</v>
      </c>
      <c r="AK3" s="5" t="s">
        <v>23</v>
      </c>
      <c r="AL3" s="1" t="s">
        <v>20</v>
      </c>
      <c r="AM3" s="1" t="s">
        <v>21</v>
      </c>
      <c r="AN3" s="1" t="s">
        <v>3</v>
      </c>
      <c r="AO3" s="1" t="s">
        <v>22</v>
      </c>
      <c r="AP3" s="5" t="s">
        <v>23</v>
      </c>
      <c r="AQ3" s="1" t="s">
        <v>20</v>
      </c>
      <c r="AR3" s="1" t="s">
        <v>21</v>
      </c>
      <c r="AS3" s="1" t="s">
        <v>3</v>
      </c>
      <c r="AT3" s="1" t="s">
        <v>22</v>
      </c>
      <c r="AU3" s="5" t="s">
        <v>23</v>
      </c>
      <c r="AV3" s="1" t="s">
        <v>20</v>
      </c>
      <c r="AW3" s="1" t="s">
        <v>21</v>
      </c>
      <c r="AX3" s="1" t="s">
        <v>3</v>
      </c>
      <c r="AY3" s="1" t="s">
        <v>22</v>
      </c>
      <c r="AZ3" s="18" t="s">
        <v>23</v>
      </c>
    </row>
    <row r="4" spans="1:52" ht="15.75" x14ac:dyDescent="0.25">
      <c r="A4" s="2">
        <v>1</v>
      </c>
      <c r="B4" s="1" t="s">
        <v>4</v>
      </c>
      <c r="C4" s="6">
        <v>5742025</v>
      </c>
      <c r="D4" s="6">
        <v>285983</v>
      </c>
      <c r="E4" s="6">
        <v>147201</v>
      </c>
      <c r="F4" s="6">
        <f>D4+E4</f>
        <v>433184</v>
      </c>
      <c r="G4" s="10">
        <f>F4*100/C4</f>
        <v>7.54409811869506</v>
      </c>
      <c r="H4" s="6">
        <v>7299497</v>
      </c>
      <c r="I4" s="13">
        <v>311823</v>
      </c>
      <c r="J4" s="6">
        <f>148384+59800</f>
        <v>208184</v>
      </c>
      <c r="K4" s="6">
        <f>I4+J4</f>
        <v>520007</v>
      </c>
      <c r="L4" s="10">
        <f>K4*100/H4</f>
        <v>7.1238744258679745</v>
      </c>
      <c r="M4" s="13">
        <v>4874726</v>
      </c>
      <c r="N4" s="3">
        <v>305468</v>
      </c>
      <c r="O4" s="6">
        <v>171052</v>
      </c>
      <c r="P4" s="15">
        <f t="shared" ref="P4:P15" si="0">S4+O4</f>
        <v>506051</v>
      </c>
      <c r="Q4" s="17">
        <f>P4*100/M4</f>
        <v>10.38111680533429</v>
      </c>
      <c r="R4" s="13">
        <v>5451256</v>
      </c>
      <c r="S4" s="13">
        <v>334999</v>
      </c>
      <c r="T4" s="6">
        <v>192854</v>
      </c>
      <c r="U4" s="15">
        <f>S4+T4</f>
        <v>527853</v>
      </c>
      <c r="V4" s="17">
        <f>U4*100/R4</f>
        <v>9.6831445817257524</v>
      </c>
      <c r="W4" s="13">
        <v>5303802</v>
      </c>
      <c r="X4" s="3">
        <v>315903</v>
      </c>
      <c r="Y4" s="3">
        <v>176738</v>
      </c>
      <c r="Z4" s="3">
        <f>X4+Y4</f>
        <v>492641</v>
      </c>
      <c r="AA4" s="17">
        <f>Z4*100/W4</f>
        <v>9.2884500590331243</v>
      </c>
      <c r="AB4" s="13">
        <v>7405569</v>
      </c>
      <c r="AC4" s="3">
        <v>324034</v>
      </c>
      <c r="AD4" s="3">
        <v>169259</v>
      </c>
      <c r="AE4" s="3">
        <f>AC4+AD4</f>
        <v>493293</v>
      </c>
      <c r="AF4" s="17">
        <f>AE4*100/AB4</f>
        <v>6.6611086872595475</v>
      </c>
      <c r="AG4" s="13">
        <v>5835612</v>
      </c>
      <c r="AH4" s="3">
        <v>332869</v>
      </c>
      <c r="AI4" s="3">
        <v>164684</v>
      </c>
      <c r="AJ4" s="3">
        <f>AH4+AI4</f>
        <v>497553</v>
      </c>
      <c r="AK4" s="17">
        <f>AJ4*100/AG4</f>
        <v>8.5261494424235202</v>
      </c>
      <c r="AL4" s="3">
        <v>5363825</v>
      </c>
      <c r="AM4" s="3">
        <v>303033</v>
      </c>
      <c r="AN4" s="3">
        <v>163302</v>
      </c>
      <c r="AO4" s="3">
        <f>AM4+AN4</f>
        <v>466335</v>
      </c>
      <c r="AP4" s="17">
        <f>AO4*100/AL4</f>
        <v>8.69407558971443</v>
      </c>
      <c r="AQ4" s="3">
        <v>7585490</v>
      </c>
      <c r="AR4" s="3">
        <v>297485</v>
      </c>
      <c r="AS4" s="3">
        <v>151129</v>
      </c>
      <c r="AT4" s="3">
        <f>AR4+AS4</f>
        <v>448614</v>
      </c>
      <c r="AU4" s="17">
        <f>AT4*100/AQ4</f>
        <v>5.9141070649358181</v>
      </c>
      <c r="AV4" s="3">
        <v>5471223</v>
      </c>
      <c r="AW4" s="3"/>
      <c r="AX4" s="3"/>
      <c r="AY4" s="3"/>
      <c r="AZ4" s="3"/>
    </row>
    <row r="5" spans="1:52" ht="15.75" x14ac:dyDescent="0.25">
      <c r="A5" s="2">
        <v>2</v>
      </c>
      <c r="B5" s="1" t="s">
        <v>18</v>
      </c>
      <c r="C5" s="6"/>
      <c r="D5" s="6"/>
      <c r="E5" s="6"/>
      <c r="F5" s="6">
        <f t="shared" ref="F5:F16" si="1">D5+E5</f>
        <v>0</v>
      </c>
      <c r="G5" s="10"/>
      <c r="H5" s="6"/>
      <c r="I5" s="10"/>
      <c r="J5" s="6"/>
      <c r="K5" s="6">
        <f t="shared" ref="K5:K16" si="2">I5+J5</f>
        <v>0</v>
      </c>
      <c r="L5" s="10"/>
      <c r="M5" s="13">
        <v>467225</v>
      </c>
      <c r="N5" s="3">
        <v>69300</v>
      </c>
      <c r="O5" s="6">
        <v>41992</v>
      </c>
      <c r="P5" s="15">
        <f t="shared" si="0"/>
        <v>196830</v>
      </c>
      <c r="Q5" s="17">
        <f t="shared" ref="Q5:Q17" si="3">P5*100/M5</f>
        <v>42.127454652469368</v>
      </c>
      <c r="R5" s="13">
        <v>1562942</v>
      </c>
      <c r="S5" s="13">
        <v>154838</v>
      </c>
      <c r="T5" s="6">
        <v>62816</v>
      </c>
      <c r="U5" s="15">
        <f t="shared" ref="U5:U17" si="4">S5+T5</f>
        <v>217654</v>
      </c>
      <c r="V5" s="17">
        <f t="shared" ref="V5:V17" si="5">U5*100/R5</f>
        <v>13.92591663670181</v>
      </c>
      <c r="W5" s="13">
        <v>2540926</v>
      </c>
      <c r="X5" s="3">
        <v>182967</v>
      </c>
      <c r="Y5" s="3">
        <v>83095</v>
      </c>
      <c r="Z5" s="3">
        <f t="shared" ref="Z5:Z17" si="6">X5+Y5</f>
        <v>266062</v>
      </c>
      <c r="AA5" s="17">
        <f t="shared" ref="AA5:AA17" si="7">Z5*100/W5</f>
        <v>10.471064485939378</v>
      </c>
      <c r="AB5" s="13">
        <v>4762610</v>
      </c>
      <c r="AC5" s="3">
        <v>208851</v>
      </c>
      <c r="AD5" s="3">
        <v>114323</v>
      </c>
      <c r="AE5" s="3">
        <f t="shared" ref="AE5:AE17" si="8">AC5+AD5</f>
        <v>323174</v>
      </c>
      <c r="AF5" s="17">
        <f t="shared" ref="AF5:AF17" si="9">AE5*100/AB5</f>
        <v>6.7856490453763794</v>
      </c>
      <c r="AG5" s="13">
        <v>2488708</v>
      </c>
      <c r="AH5" s="3">
        <v>214711</v>
      </c>
      <c r="AI5" s="3">
        <v>81744</v>
      </c>
      <c r="AJ5" s="3">
        <f t="shared" ref="AJ5:AJ17" si="10">AH5+AI5</f>
        <v>296455</v>
      </c>
      <c r="AK5" s="17">
        <f t="shared" ref="AK5:AK17" si="11">AJ5*100/AG5</f>
        <v>11.912004140300912</v>
      </c>
      <c r="AL5" s="3">
        <v>5047866</v>
      </c>
      <c r="AM5" s="3">
        <v>230866</v>
      </c>
      <c r="AN5" s="3">
        <f>119101+3090</f>
        <v>122191</v>
      </c>
      <c r="AO5" s="3">
        <f t="shared" ref="AO5:AO17" si="12">AM5+AN5</f>
        <v>353057</v>
      </c>
      <c r="AP5" s="17">
        <f t="shared" ref="AP5:AP17" si="13">AO5*100/AL5</f>
        <v>6.9941832845800578</v>
      </c>
      <c r="AQ5" s="3">
        <v>4429574</v>
      </c>
      <c r="AR5" s="3">
        <v>223470</v>
      </c>
      <c r="AS5" s="3">
        <v>93078</v>
      </c>
      <c r="AT5" s="3">
        <f t="shared" ref="AT5:AT16" si="14">AR5+AS5</f>
        <v>316548</v>
      </c>
      <c r="AU5" s="17">
        <f t="shared" ref="AU5:AU17" si="15">AT5*100/AQ5</f>
        <v>7.1462402479335481</v>
      </c>
      <c r="AV5" s="3">
        <v>3721613</v>
      </c>
      <c r="AW5" s="3"/>
      <c r="AX5" s="3"/>
      <c r="AY5" s="3"/>
      <c r="AZ5" s="3"/>
    </row>
    <row r="6" spans="1:52" ht="15.75" x14ac:dyDescent="0.25">
      <c r="A6" s="2">
        <v>3</v>
      </c>
      <c r="B6" s="1" t="s">
        <v>5</v>
      </c>
      <c r="C6" s="6">
        <v>2471318</v>
      </c>
      <c r="D6" s="6">
        <v>336167</v>
      </c>
      <c r="E6" s="6">
        <v>348302</v>
      </c>
      <c r="F6" s="6">
        <f t="shared" si="1"/>
        <v>684469</v>
      </c>
      <c r="G6" s="10">
        <f t="shared" ref="G6:G17" si="16">F6*100/C6</f>
        <v>27.696516595597977</v>
      </c>
      <c r="H6" s="6">
        <v>2608273</v>
      </c>
      <c r="I6" s="13">
        <v>331904</v>
      </c>
      <c r="J6" s="6">
        <v>359348</v>
      </c>
      <c r="K6" s="6">
        <f t="shared" si="2"/>
        <v>691252</v>
      </c>
      <c r="L6" s="10">
        <f t="shared" ref="L6:L15" si="17">K6*100/H6</f>
        <v>26.502287145555698</v>
      </c>
      <c r="M6" s="13">
        <v>3453024</v>
      </c>
      <c r="N6" s="3">
        <v>335000</v>
      </c>
      <c r="O6" s="6">
        <v>319580</v>
      </c>
      <c r="P6" s="15">
        <f t="shared" si="0"/>
        <v>663546</v>
      </c>
      <c r="Q6" s="17">
        <f t="shared" si="3"/>
        <v>19.216373821902195</v>
      </c>
      <c r="R6" s="13">
        <v>2955300</v>
      </c>
      <c r="S6" s="13">
        <v>343966</v>
      </c>
      <c r="T6" s="6">
        <f>146680+213800</f>
        <v>360480</v>
      </c>
      <c r="U6" s="15">
        <f t="shared" si="4"/>
        <v>704446</v>
      </c>
      <c r="V6" s="17">
        <f t="shared" si="5"/>
        <v>23.836700165803808</v>
      </c>
      <c r="W6" s="13">
        <v>2930774</v>
      </c>
      <c r="X6" s="3">
        <v>339323</v>
      </c>
      <c r="Y6" s="3">
        <f>147543+162800</f>
        <v>310343</v>
      </c>
      <c r="Z6" s="3">
        <f t="shared" si="6"/>
        <v>649666</v>
      </c>
      <c r="AA6" s="17">
        <f t="shared" si="7"/>
        <v>22.167045292472228</v>
      </c>
      <c r="AB6" s="13">
        <v>3033449</v>
      </c>
      <c r="AC6" s="3">
        <v>287750</v>
      </c>
      <c r="AD6" s="3">
        <f>132710+226825</f>
        <v>359535</v>
      </c>
      <c r="AE6" s="3">
        <f t="shared" si="8"/>
        <v>647285</v>
      </c>
      <c r="AF6" s="17">
        <f t="shared" si="9"/>
        <v>21.338252266644339</v>
      </c>
      <c r="AG6" s="13">
        <v>2117491</v>
      </c>
      <c r="AH6" s="3">
        <v>272741</v>
      </c>
      <c r="AI6" s="3">
        <f>96465+213900</f>
        <v>310365</v>
      </c>
      <c r="AJ6" s="3">
        <f t="shared" si="10"/>
        <v>583106</v>
      </c>
      <c r="AK6" s="17">
        <f t="shared" si="11"/>
        <v>27.537590478542764</v>
      </c>
      <c r="AL6" s="3">
        <v>2432285</v>
      </c>
      <c r="AM6" s="3">
        <v>281000</v>
      </c>
      <c r="AN6" s="3">
        <v>287373</v>
      </c>
      <c r="AO6" s="3">
        <f t="shared" si="12"/>
        <v>568373</v>
      </c>
      <c r="AP6" s="17">
        <f t="shared" si="13"/>
        <v>23.367861907630068</v>
      </c>
      <c r="AQ6" s="3">
        <v>2598620</v>
      </c>
      <c r="AR6" s="3">
        <v>315883</v>
      </c>
      <c r="AS6" s="3">
        <f>99959+219008</f>
        <v>318967</v>
      </c>
      <c r="AT6" s="3">
        <f t="shared" si="14"/>
        <v>634850</v>
      </c>
      <c r="AU6" s="17">
        <f t="shared" si="15"/>
        <v>24.430274530327637</v>
      </c>
      <c r="AV6" s="3">
        <v>1536815</v>
      </c>
      <c r="AW6" s="3"/>
      <c r="AX6" s="3"/>
      <c r="AY6" s="3"/>
      <c r="AZ6" s="3"/>
    </row>
    <row r="7" spans="1:52" ht="15.75" x14ac:dyDescent="0.25">
      <c r="A7" s="2">
        <v>4</v>
      </c>
      <c r="B7" s="1" t="s">
        <v>14</v>
      </c>
      <c r="C7" s="6">
        <v>495596</v>
      </c>
      <c r="D7" s="7">
        <v>73834</v>
      </c>
      <c r="E7" s="6">
        <v>27568</v>
      </c>
      <c r="F7" s="6">
        <f t="shared" si="1"/>
        <v>101402</v>
      </c>
      <c r="G7" s="10">
        <f t="shared" si="16"/>
        <v>20.460617115553799</v>
      </c>
      <c r="H7" s="6">
        <v>839920</v>
      </c>
      <c r="I7" s="13">
        <v>103146</v>
      </c>
      <c r="J7" s="6">
        <v>56729</v>
      </c>
      <c r="K7" s="6">
        <f t="shared" si="2"/>
        <v>159875</v>
      </c>
      <c r="L7" s="10">
        <f t="shared" si="17"/>
        <v>19.034550909610438</v>
      </c>
      <c r="M7" s="13">
        <v>1638431</v>
      </c>
      <c r="N7" s="3">
        <v>174550</v>
      </c>
      <c r="O7" s="6">
        <v>86509</v>
      </c>
      <c r="P7" s="15">
        <f t="shared" si="0"/>
        <v>316733</v>
      </c>
      <c r="Q7" s="17">
        <f t="shared" si="3"/>
        <v>19.331482375516575</v>
      </c>
      <c r="R7" s="13">
        <v>1633805</v>
      </c>
      <c r="S7" s="13">
        <v>230224</v>
      </c>
      <c r="T7" s="6">
        <v>110931</v>
      </c>
      <c r="U7" s="15">
        <f t="shared" si="4"/>
        <v>341155</v>
      </c>
      <c r="V7" s="17">
        <f t="shared" si="5"/>
        <v>20.881010891752688</v>
      </c>
      <c r="W7" s="13">
        <v>1855822</v>
      </c>
      <c r="X7" s="3">
        <v>203611</v>
      </c>
      <c r="Y7" s="3">
        <v>69897</v>
      </c>
      <c r="Z7" s="3">
        <f t="shared" si="6"/>
        <v>273508</v>
      </c>
      <c r="AA7" s="17">
        <f t="shared" si="7"/>
        <v>14.737835848481158</v>
      </c>
      <c r="AB7" s="13">
        <v>909076</v>
      </c>
      <c r="AC7" s="3">
        <v>195560</v>
      </c>
      <c r="AD7" s="3">
        <v>99060</v>
      </c>
      <c r="AE7" s="3">
        <f t="shared" si="8"/>
        <v>294620</v>
      </c>
      <c r="AF7" s="17">
        <f t="shared" si="9"/>
        <v>32.408731503196655</v>
      </c>
      <c r="AG7" s="13">
        <v>1764721</v>
      </c>
      <c r="AH7" s="3">
        <v>224759</v>
      </c>
      <c r="AI7" s="3">
        <v>73512</v>
      </c>
      <c r="AJ7" s="3">
        <f t="shared" si="10"/>
        <v>298271</v>
      </c>
      <c r="AK7" s="17">
        <f t="shared" si="11"/>
        <v>16.901878540573836</v>
      </c>
      <c r="AL7" s="3">
        <v>1287483</v>
      </c>
      <c r="AM7" s="3">
        <v>175891</v>
      </c>
      <c r="AN7" s="3">
        <v>33323</v>
      </c>
      <c r="AO7" s="3">
        <f t="shared" si="12"/>
        <v>209214</v>
      </c>
      <c r="AP7" s="17">
        <f t="shared" si="13"/>
        <v>16.249845629029664</v>
      </c>
      <c r="AQ7" s="3">
        <v>698417</v>
      </c>
      <c r="AR7" s="3">
        <v>122839</v>
      </c>
      <c r="AS7" s="3">
        <v>67811</v>
      </c>
      <c r="AT7" s="3">
        <f t="shared" si="14"/>
        <v>190650</v>
      </c>
      <c r="AU7" s="17">
        <f t="shared" si="15"/>
        <v>27.29744550891516</v>
      </c>
      <c r="AV7" s="3">
        <v>515140</v>
      </c>
      <c r="AW7" s="3"/>
      <c r="AX7" s="3"/>
      <c r="AY7" s="3"/>
      <c r="AZ7" s="3"/>
    </row>
    <row r="8" spans="1:52" ht="15.75" x14ac:dyDescent="0.25">
      <c r="A8" s="2">
        <v>5</v>
      </c>
      <c r="B8" s="1" t="s">
        <v>6</v>
      </c>
      <c r="C8" s="6">
        <v>7225320</v>
      </c>
      <c r="D8" s="6">
        <v>464266</v>
      </c>
      <c r="E8" s="6">
        <v>226352</v>
      </c>
      <c r="F8" s="6">
        <f t="shared" si="1"/>
        <v>690618</v>
      </c>
      <c r="G8" s="10">
        <f t="shared" si="16"/>
        <v>9.5583033000614499</v>
      </c>
      <c r="H8" s="6">
        <v>10575227</v>
      </c>
      <c r="I8" s="13">
        <v>493750</v>
      </c>
      <c r="J8" s="6">
        <f>229039+30314</f>
        <v>259353</v>
      </c>
      <c r="K8" s="6">
        <f t="shared" si="2"/>
        <v>753103</v>
      </c>
      <c r="L8" s="10">
        <f t="shared" si="17"/>
        <v>7.1213885054193167</v>
      </c>
      <c r="M8" s="13">
        <v>9499540</v>
      </c>
      <c r="N8" s="3">
        <v>504534</v>
      </c>
      <c r="O8" s="6">
        <v>250437</v>
      </c>
      <c r="P8" s="15">
        <f t="shared" si="0"/>
        <v>789259</v>
      </c>
      <c r="Q8" s="17">
        <f t="shared" si="3"/>
        <v>8.3083917747596203</v>
      </c>
      <c r="R8" s="13">
        <v>8722886</v>
      </c>
      <c r="S8" s="13">
        <v>538822</v>
      </c>
      <c r="T8" s="6">
        <v>277691</v>
      </c>
      <c r="U8" s="15">
        <f t="shared" si="4"/>
        <v>816513</v>
      </c>
      <c r="V8" s="17">
        <f t="shared" si="5"/>
        <v>9.3605831831345725</v>
      </c>
      <c r="W8" s="13">
        <v>10092342</v>
      </c>
      <c r="X8" s="3">
        <v>545063</v>
      </c>
      <c r="Y8" s="3">
        <v>241343</v>
      </c>
      <c r="Z8" s="3">
        <f t="shared" si="6"/>
        <v>786406</v>
      </c>
      <c r="AA8" s="17">
        <f t="shared" si="7"/>
        <v>7.7921061335416493</v>
      </c>
      <c r="AB8" s="13">
        <v>9490475</v>
      </c>
      <c r="AC8" s="3">
        <v>463232</v>
      </c>
      <c r="AD8" s="3">
        <v>250518</v>
      </c>
      <c r="AE8" s="3">
        <f t="shared" si="8"/>
        <v>713750</v>
      </c>
      <c r="AF8" s="17">
        <f t="shared" si="9"/>
        <v>7.520698384432813</v>
      </c>
      <c r="AG8" s="13">
        <v>8915927</v>
      </c>
      <c r="AH8" s="3">
        <v>457742</v>
      </c>
      <c r="AI8" s="3">
        <f>202683+10346</f>
        <v>213029</v>
      </c>
      <c r="AJ8" s="3">
        <f t="shared" si="10"/>
        <v>670771</v>
      </c>
      <c r="AK8" s="17">
        <f t="shared" si="11"/>
        <v>7.5232895020338324</v>
      </c>
      <c r="AL8" s="3">
        <v>9994073</v>
      </c>
      <c r="AM8" s="3">
        <v>478600</v>
      </c>
      <c r="AN8" s="3">
        <v>243232</v>
      </c>
      <c r="AO8" s="3">
        <f t="shared" si="12"/>
        <v>721832</v>
      </c>
      <c r="AP8" s="17">
        <f t="shared" si="13"/>
        <v>7.2226008355152098</v>
      </c>
      <c r="AQ8" s="3">
        <v>11435183</v>
      </c>
      <c r="AR8" s="3">
        <v>478198</v>
      </c>
      <c r="AS8" s="3">
        <v>284297</v>
      </c>
      <c r="AT8" s="3">
        <f t="shared" si="14"/>
        <v>762495</v>
      </c>
      <c r="AU8" s="17">
        <f t="shared" si="15"/>
        <v>6.667973743839517</v>
      </c>
      <c r="AV8" s="3">
        <v>8558741</v>
      </c>
      <c r="AW8" s="3"/>
      <c r="AX8" s="3"/>
      <c r="AY8" s="3"/>
      <c r="AZ8" s="3"/>
    </row>
    <row r="9" spans="1:52" ht="15.75" x14ac:dyDescent="0.25">
      <c r="A9" s="2">
        <v>6</v>
      </c>
      <c r="B9" s="1" t="s">
        <v>7</v>
      </c>
      <c r="C9" s="6">
        <v>1920180</v>
      </c>
      <c r="D9" s="6">
        <v>97334</v>
      </c>
      <c r="E9" s="6">
        <v>56151</v>
      </c>
      <c r="F9" s="6">
        <f t="shared" si="1"/>
        <v>153485</v>
      </c>
      <c r="G9" s="10">
        <f t="shared" si="16"/>
        <v>7.993261048443375</v>
      </c>
      <c r="H9" s="6">
        <v>1468337</v>
      </c>
      <c r="I9" s="13">
        <f>97838+16258</f>
        <v>114096</v>
      </c>
      <c r="J9" s="6">
        <f>33273+23467</f>
        <v>56740</v>
      </c>
      <c r="K9" s="6">
        <f t="shared" si="2"/>
        <v>170836</v>
      </c>
      <c r="L9" s="10">
        <f t="shared" si="17"/>
        <v>11.634658801079043</v>
      </c>
      <c r="M9" s="13">
        <v>729781</v>
      </c>
      <c r="N9" s="3">
        <v>99267</v>
      </c>
      <c r="O9" s="6">
        <v>52779</v>
      </c>
      <c r="P9" s="15">
        <f t="shared" si="0"/>
        <v>162067</v>
      </c>
      <c r="Q9" s="17">
        <f t="shared" si="3"/>
        <v>22.207621190466728</v>
      </c>
      <c r="R9" s="13">
        <v>1452980</v>
      </c>
      <c r="S9" s="13">
        <v>109288</v>
      </c>
      <c r="T9" s="6">
        <v>68765</v>
      </c>
      <c r="U9" s="15">
        <f t="shared" si="4"/>
        <v>178053</v>
      </c>
      <c r="V9" s="17">
        <f t="shared" si="5"/>
        <v>12.254332475326571</v>
      </c>
      <c r="W9" s="13">
        <v>1123129</v>
      </c>
      <c r="X9" s="3">
        <v>88709</v>
      </c>
      <c r="Y9" s="3">
        <v>7825</v>
      </c>
      <c r="Z9" s="3">
        <f t="shared" si="6"/>
        <v>96534</v>
      </c>
      <c r="AA9" s="17">
        <f t="shared" si="7"/>
        <v>8.595094597325863</v>
      </c>
      <c r="AB9" s="13"/>
      <c r="AC9" s="3">
        <v>3200</v>
      </c>
      <c r="AD9" s="3"/>
      <c r="AE9" s="3">
        <f t="shared" si="8"/>
        <v>3200</v>
      </c>
      <c r="AF9" s="17"/>
      <c r="AG9" s="13">
        <v>1483703</v>
      </c>
      <c r="AH9" s="3">
        <v>20323</v>
      </c>
      <c r="AI9" s="3">
        <v>14334</v>
      </c>
      <c r="AJ9" s="3">
        <f t="shared" si="10"/>
        <v>34657</v>
      </c>
      <c r="AK9" s="17">
        <f t="shared" si="11"/>
        <v>2.3358448422629059</v>
      </c>
      <c r="AL9" s="3">
        <v>1421815</v>
      </c>
      <c r="AM9" s="3">
        <v>54300</v>
      </c>
      <c r="AN9" s="3">
        <v>27241</v>
      </c>
      <c r="AO9" s="3">
        <f t="shared" si="12"/>
        <v>81541</v>
      </c>
      <c r="AP9" s="17">
        <f t="shared" si="13"/>
        <v>5.7349936524794014</v>
      </c>
      <c r="AQ9" s="3">
        <v>1265685</v>
      </c>
      <c r="AR9" s="3">
        <v>53064</v>
      </c>
      <c r="AS9" s="3">
        <v>15295</v>
      </c>
      <c r="AT9" s="3">
        <f t="shared" si="14"/>
        <v>68359</v>
      </c>
      <c r="AU9" s="17">
        <f t="shared" si="15"/>
        <v>5.4009488932870342</v>
      </c>
      <c r="AV9" s="3">
        <v>966491</v>
      </c>
      <c r="AW9" s="3"/>
      <c r="AX9" s="3"/>
      <c r="AY9" s="3"/>
      <c r="AZ9" s="3"/>
    </row>
    <row r="10" spans="1:52" ht="15.75" x14ac:dyDescent="0.25">
      <c r="A10" s="2">
        <v>7</v>
      </c>
      <c r="B10" s="1" t="s">
        <v>8</v>
      </c>
      <c r="C10" s="6">
        <v>1794682</v>
      </c>
      <c r="D10" s="6">
        <v>128783</v>
      </c>
      <c r="E10" s="6">
        <v>58261</v>
      </c>
      <c r="F10" s="6">
        <f t="shared" si="1"/>
        <v>187044</v>
      </c>
      <c r="G10" s="10">
        <f t="shared" si="16"/>
        <v>10.422124922409653</v>
      </c>
      <c r="H10" s="6">
        <v>849237</v>
      </c>
      <c r="I10" s="13">
        <v>121484</v>
      </c>
      <c r="J10" s="6">
        <v>70170</v>
      </c>
      <c r="K10" s="6">
        <f t="shared" si="2"/>
        <v>191654</v>
      </c>
      <c r="L10" s="10">
        <f t="shared" si="17"/>
        <v>22.56778731967637</v>
      </c>
      <c r="M10" s="13">
        <v>1826792</v>
      </c>
      <c r="N10" s="3">
        <v>121667</v>
      </c>
      <c r="O10" s="6">
        <v>61773</v>
      </c>
      <c r="P10" s="15">
        <f t="shared" si="0"/>
        <v>186870</v>
      </c>
      <c r="Q10" s="17">
        <f t="shared" si="3"/>
        <v>10.229407617287572</v>
      </c>
      <c r="R10" s="13">
        <v>2640351</v>
      </c>
      <c r="S10" s="13">
        <v>125097</v>
      </c>
      <c r="T10" s="6">
        <v>79556</v>
      </c>
      <c r="U10" s="15">
        <f t="shared" si="4"/>
        <v>204653</v>
      </c>
      <c r="V10" s="17">
        <f t="shared" si="5"/>
        <v>7.7509770481273135</v>
      </c>
      <c r="W10" s="13">
        <v>848261</v>
      </c>
      <c r="X10" s="3">
        <v>138886</v>
      </c>
      <c r="Y10" s="3">
        <v>60214</v>
      </c>
      <c r="Z10" s="3">
        <f t="shared" si="6"/>
        <v>199100</v>
      </c>
      <c r="AA10" s="17">
        <f t="shared" si="7"/>
        <v>23.471549440561336</v>
      </c>
      <c r="AB10" s="13">
        <v>3226056</v>
      </c>
      <c r="AC10" s="3">
        <v>134599</v>
      </c>
      <c r="AD10" s="3">
        <v>66455</v>
      </c>
      <c r="AE10" s="3">
        <f t="shared" si="8"/>
        <v>201054</v>
      </c>
      <c r="AF10" s="17">
        <f t="shared" si="9"/>
        <v>6.2321918776363461</v>
      </c>
      <c r="AG10" s="13">
        <v>2488097</v>
      </c>
      <c r="AH10" s="3">
        <v>190645</v>
      </c>
      <c r="AI10" s="3">
        <v>118480</v>
      </c>
      <c r="AJ10" s="3">
        <f t="shared" si="10"/>
        <v>309125</v>
      </c>
      <c r="AK10" s="17">
        <f t="shared" si="11"/>
        <v>12.424153881460409</v>
      </c>
      <c r="AL10" s="3">
        <v>2964355</v>
      </c>
      <c r="AM10" s="3">
        <v>213534</v>
      </c>
      <c r="AN10" s="3">
        <v>99672</v>
      </c>
      <c r="AO10" s="3">
        <f t="shared" si="12"/>
        <v>313206</v>
      </c>
      <c r="AP10" s="17">
        <f t="shared" si="13"/>
        <v>10.565738583941531</v>
      </c>
      <c r="AQ10" s="3">
        <v>2984211</v>
      </c>
      <c r="AR10" s="3">
        <v>218270</v>
      </c>
      <c r="AS10" s="3">
        <v>113255</v>
      </c>
      <c r="AT10" s="3">
        <f t="shared" si="14"/>
        <v>331525</v>
      </c>
      <c r="AU10" s="17">
        <f t="shared" si="15"/>
        <v>11.109301587588813</v>
      </c>
      <c r="AV10" s="3">
        <v>3233183</v>
      </c>
      <c r="AW10" s="3"/>
      <c r="AX10" s="3"/>
      <c r="AY10" s="3"/>
      <c r="AZ10" s="3"/>
    </row>
    <row r="11" spans="1:52" ht="15.75" x14ac:dyDescent="0.25">
      <c r="A11" s="2">
        <v>8</v>
      </c>
      <c r="B11" s="1" t="s">
        <v>9</v>
      </c>
      <c r="C11" s="6">
        <v>723336</v>
      </c>
      <c r="D11" s="8">
        <v>38667</v>
      </c>
      <c r="E11" s="6">
        <v>31501</v>
      </c>
      <c r="F11" s="6">
        <f t="shared" si="1"/>
        <v>70168</v>
      </c>
      <c r="G11" s="10">
        <f t="shared" si="16"/>
        <v>9.7006093986750273</v>
      </c>
      <c r="H11" s="6">
        <v>895696</v>
      </c>
      <c r="I11" s="13">
        <v>74483</v>
      </c>
      <c r="J11" s="6">
        <f>8250+11625</f>
        <v>19875</v>
      </c>
      <c r="K11" s="6">
        <f t="shared" si="2"/>
        <v>94358</v>
      </c>
      <c r="L11" s="10">
        <f t="shared" si="17"/>
        <v>10.534601025347886</v>
      </c>
      <c r="M11" s="13"/>
      <c r="N11" s="3">
        <v>60684</v>
      </c>
      <c r="O11" s="6">
        <v>22866</v>
      </c>
      <c r="P11" s="15">
        <f t="shared" si="0"/>
        <v>89688</v>
      </c>
      <c r="Q11" s="17"/>
      <c r="R11" s="13">
        <v>736083</v>
      </c>
      <c r="S11" s="13">
        <v>66822</v>
      </c>
      <c r="T11" s="6">
        <v>26043</v>
      </c>
      <c r="U11" s="15">
        <f t="shared" si="4"/>
        <v>92865</v>
      </c>
      <c r="V11" s="17">
        <f t="shared" si="5"/>
        <v>12.616104433874984</v>
      </c>
      <c r="W11" s="13">
        <v>900516</v>
      </c>
      <c r="X11" s="3">
        <v>69419</v>
      </c>
      <c r="Y11" s="3">
        <v>27069</v>
      </c>
      <c r="Z11" s="3">
        <f t="shared" si="6"/>
        <v>96488</v>
      </c>
      <c r="AA11" s="17">
        <f t="shared" si="7"/>
        <v>10.714745767981913</v>
      </c>
      <c r="AB11" s="13">
        <v>1203530</v>
      </c>
      <c r="AC11" s="3">
        <v>81811</v>
      </c>
      <c r="AD11" s="3">
        <f>29188+17270</f>
        <v>46458</v>
      </c>
      <c r="AE11" s="3">
        <f t="shared" si="8"/>
        <v>128269</v>
      </c>
      <c r="AF11" s="17">
        <f t="shared" si="9"/>
        <v>10.657731838840743</v>
      </c>
      <c r="AG11" s="13">
        <v>1045933</v>
      </c>
      <c r="AH11" s="3">
        <v>77843</v>
      </c>
      <c r="AI11" s="3">
        <f>18558+18409</f>
        <v>36967</v>
      </c>
      <c r="AJ11" s="3">
        <f t="shared" si="10"/>
        <v>114810</v>
      </c>
      <c r="AK11" s="17">
        <f t="shared" si="11"/>
        <v>10.97680252941632</v>
      </c>
      <c r="AL11" s="3">
        <f>1011822+1229799</f>
        <v>2241621</v>
      </c>
      <c r="AM11" s="3">
        <v>62676</v>
      </c>
      <c r="AN11" s="3">
        <v>28374</v>
      </c>
      <c r="AO11" s="3">
        <f t="shared" si="12"/>
        <v>91050</v>
      </c>
      <c r="AP11" s="17">
        <f t="shared" si="13"/>
        <v>4.0617927829905236</v>
      </c>
      <c r="AQ11" s="3">
        <v>634856</v>
      </c>
      <c r="AR11" s="3">
        <v>72999</v>
      </c>
      <c r="AS11" s="3">
        <v>54198</v>
      </c>
      <c r="AT11" s="3">
        <f t="shared" si="14"/>
        <v>127197</v>
      </c>
      <c r="AU11" s="17">
        <f t="shared" si="15"/>
        <v>20.035567120732889</v>
      </c>
      <c r="AV11" s="3">
        <v>729746</v>
      </c>
      <c r="AW11" s="3"/>
      <c r="AX11" s="3"/>
      <c r="AY11" s="3"/>
      <c r="AZ11" s="3"/>
    </row>
    <row r="12" spans="1:52" ht="15.75" x14ac:dyDescent="0.25">
      <c r="A12" s="2">
        <v>10</v>
      </c>
      <c r="B12" s="1" t="s">
        <v>10</v>
      </c>
      <c r="C12" s="6">
        <v>5323164</v>
      </c>
      <c r="D12" s="6">
        <v>355782</v>
      </c>
      <c r="E12" s="6">
        <v>174098</v>
      </c>
      <c r="F12" s="6">
        <f t="shared" si="1"/>
        <v>529880</v>
      </c>
      <c r="G12" s="10">
        <f t="shared" si="16"/>
        <v>9.9542302284881696</v>
      </c>
      <c r="H12" s="6">
        <v>5029672</v>
      </c>
      <c r="I12" s="13">
        <v>403702</v>
      </c>
      <c r="J12" s="6">
        <f>165371+50111</f>
        <v>215482</v>
      </c>
      <c r="K12" s="6">
        <f t="shared" si="2"/>
        <v>619184</v>
      </c>
      <c r="L12" s="10">
        <f t="shared" si="17"/>
        <v>12.310623833919985</v>
      </c>
      <c r="M12" s="13">
        <v>6601674</v>
      </c>
      <c r="N12" s="3">
        <v>450349</v>
      </c>
      <c r="O12" s="6">
        <v>205856</v>
      </c>
      <c r="P12" s="15">
        <f t="shared" si="0"/>
        <v>652113</v>
      </c>
      <c r="Q12" s="17">
        <f t="shared" si="3"/>
        <v>9.8779945813743613</v>
      </c>
      <c r="R12" s="13">
        <v>5897188</v>
      </c>
      <c r="S12" s="13">
        <v>446257</v>
      </c>
      <c r="T12" s="6">
        <v>187596</v>
      </c>
      <c r="U12" s="15">
        <f t="shared" si="4"/>
        <v>633853</v>
      </c>
      <c r="V12" s="17">
        <f t="shared" si="5"/>
        <v>10.748393980317399</v>
      </c>
      <c r="W12" s="13">
        <v>6025361</v>
      </c>
      <c r="X12" s="3">
        <v>424886</v>
      </c>
      <c r="Y12" s="3">
        <v>172352</v>
      </c>
      <c r="Z12" s="3">
        <f t="shared" si="6"/>
        <v>597238</v>
      </c>
      <c r="AA12" s="17">
        <f t="shared" si="7"/>
        <v>9.9120699987934326</v>
      </c>
      <c r="AB12" s="13">
        <v>3939116</v>
      </c>
      <c r="AC12" s="3">
        <v>424583</v>
      </c>
      <c r="AD12" s="3">
        <v>206453</v>
      </c>
      <c r="AE12" s="3">
        <f t="shared" si="8"/>
        <v>631036</v>
      </c>
      <c r="AF12" s="17">
        <f t="shared" si="9"/>
        <v>16.019736407864098</v>
      </c>
      <c r="AG12" s="13">
        <v>6002420</v>
      </c>
      <c r="AH12" s="3">
        <v>443041</v>
      </c>
      <c r="AI12" s="3">
        <v>167872</v>
      </c>
      <c r="AJ12" s="3">
        <f t="shared" si="10"/>
        <v>610913</v>
      </c>
      <c r="AK12" s="17">
        <f t="shared" si="11"/>
        <v>10.177778296087245</v>
      </c>
      <c r="AL12" s="3">
        <v>5778375</v>
      </c>
      <c r="AM12" s="3">
        <v>412682</v>
      </c>
      <c r="AN12" s="3">
        <v>163586</v>
      </c>
      <c r="AO12" s="3">
        <f t="shared" si="12"/>
        <v>576268</v>
      </c>
      <c r="AP12" s="17">
        <f t="shared" si="13"/>
        <v>9.9728383844939099</v>
      </c>
      <c r="AQ12" s="3">
        <v>4034465</v>
      </c>
      <c r="AR12" s="3">
        <v>366678</v>
      </c>
      <c r="AS12" s="3">
        <v>158039</v>
      </c>
      <c r="AT12" s="3">
        <f t="shared" si="14"/>
        <v>524717</v>
      </c>
      <c r="AU12" s="17">
        <f t="shared" si="15"/>
        <v>13.005863230936443</v>
      </c>
      <c r="AV12" s="3">
        <v>4853294</v>
      </c>
      <c r="AW12" s="3"/>
      <c r="AX12" s="3"/>
      <c r="AY12" s="3"/>
      <c r="AZ12" s="3"/>
    </row>
    <row r="13" spans="1:52" ht="15.75" x14ac:dyDescent="0.25">
      <c r="A13" s="2">
        <v>11</v>
      </c>
      <c r="B13" s="1" t="s">
        <v>11</v>
      </c>
      <c r="C13" s="6">
        <v>3790463</v>
      </c>
      <c r="D13" s="6">
        <v>430710</v>
      </c>
      <c r="E13" s="6">
        <v>186371</v>
      </c>
      <c r="F13" s="6">
        <f t="shared" si="1"/>
        <v>617081</v>
      </c>
      <c r="G13" s="10">
        <f t="shared" si="16"/>
        <v>16.279831777806564</v>
      </c>
      <c r="H13" s="6">
        <v>2758139</v>
      </c>
      <c r="I13" s="13">
        <v>288370</v>
      </c>
      <c r="J13" s="6">
        <v>177680</v>
      </c>
      <c r="K13" s="6">
        <f t="shared" si="2"/>
        <v>466050</v>
      </c>
      <c r="L13" s="10">
        <f t="shared" si="17"/>
        <v>16.897262973330932</v>
      </c>
      <c r="M13" s="13">
        <v>2605438</v>
      </c>
      <c r="N13" s="3">
        <v>361499</v>
      </c>
      <c r="O13" s="6">
        <v>165741</v>
      </c>
      <c r="P13" s="15">
        <f t="shared" si="0"/>
        <v>555305</v>
      </c>
      <c r="Q13" s="17">
        <f t="shared" si="3"/>
        <v>21.313307014022211</v>
      </c>
      <c r="R13" s="13">
        <v>4557396</v>
      </c>
      <c r="S13" s="13">
        <v>389564</v>
      </c>
      <c r="T13" s="6">
        <f>218153+16389</f>
        <v>234542</v>
      </c>
      <c r="U13" s="15">
        <f t="shared" si="4"/>
        <v>624106</v>
      </c>
      <c r="V13" s="17">
        <f t="shared" si="5"/>
        <v>13.69435528534277</v>
      </c>
      <c r="W13" s="13">
        <v>4277984</v>
      </c>
      <c r="X13" s="3">
        <v>411466</v>
      </c>
      <c r="Y13" s="3">
        <v>168846</v>
      </c>
      <c r="Z13" s="3">
        <f t="shared" si="6"/>
        <v>580312</v>
      </c>
      <c r="AA13" s="17">
        <f t="shared" si="7"/>
        <v>13.565081122323038</v>
      </c>
      <c r="AB13" s="13">
        <v>4641888</v>
      </c>
      <c r="AC13" s="3">
        <v>449416</v>
      </c>
      <c r="AD13" s="3">
        <v>191652</v>
      </c>
      <c r="AE13" s="3">
        <f t="shared" si="8"/>
        <v>641068</v>
      </c>
      <c r="AF13" s="17">
        <f t="shared" si="9"/>
        <v>13.810501244321276</v>
      </c>
      <c r="AG13" s="13">
        <v>3770144</v>
      </c>
      <c r="AH13" s="3">
        <v>385242</v>
      </c>
      <c r="AI13" s="3">
        <v>225786</v>
      </c>
      <c r="AJ13" s="3">
        <f t="shared" si="10"/>
        <v>611028</v>
      </c>
      <c r="AK13" s="17">
        <f t="shared" si="11"/>
        <v>16.207020209307654</v>
      </c>
      <c r="AL13" s="3">
        <v>5366138</v>
      </c>
      <c r="AM13" s="3">
        <v>398133</v>
      </c>
      <c r="AN13" s="3">
        <v>189687</v>
      </c>
      <c r="AO13" s="3">
        <f t="shared" si="12"/>
        <v>587820</v>
      </c>
      <c r="AP13" s="17">
        <f t="shared" si="13"/>
        <v>10.954246797231081</v>
      </c>
      <c r="AQ13" s="16">
        <v>4703791</v>
      </c>
      <c r="AR13" s="3">
        <v>357145</v>
      </c>
      <c r="AS13" s="3">
        <v>201143</v>
      </c>
      <c r="AT13" s="3">
        <f t="shared" si="14"/>
        <v>558288</v>
      </c>
      <c r="AU13" s="17">
        <f t="shared" si="15"/>
        <v>11.868894685159269</v>
      </c>
      <c r="AV13" s="3">
        <v>4051217</v>
      </c>
      <c r="AW13" s="3"/>
      <c r="AX13" s="3"/>
      <c r="AY13" s="3"/>
      <c r="AZ13" s="3"/>
    </row>
    <row r="14" spans="1:52" ht="15.75" x14ac:dyDescent="0.25">
      <c r="A14" s="2">
        <v>12</v>
      </c>
      <c r="B14" s="1" t="s">
        <v>12</v>
      </c>
      <c r="C14" s="6">
        <v>3175586</v>
      </c>
      <c r="D14" s="6">
        <v>186066</v>
      </c>
      <c r="E14" s="6">
        <v>70970</v>
      </c>
      <c r="F14" s="6">
        <f t="shared" si="1"/>
        <v>257036</v>
      </c>
      <c r="G14" s="10">
        <f t="shared" si="16"/>
        <v>8.0941281388694879</v>
      </c>
      <c r="H14" s="6">
        <v>3855504</v>
      </c>
      <c r="I14" s="13">
        <v>238887</v>
      </c>
      <c r="J14" s="6">
        <f>65496+42764</f>
        <v>108260</v>
      </c>
      <c r="K14" s="6">
        <f t="shared" si="2"/>
        <v>347147</v>
      </c>
      <c r="L14" s="10">
        <f t="shared" si="17"/>
        <v>9.0039330785287728</v>
      </c>
      <c r="M14" s="13">
        <v>5282891</v>
      </c>
      <c r="N14" s="3">
        <v>116284</v>
      </c>
      <c r="O14" s="6">
        <v>110272</v>
      </c>
      <c r="P14" s="15">
        <f t="shared" si="0"/>
        <v>225804</v>
      </c>
      <c r="Q14" s="17">
        <f t="shared" si="3"/>
        <v>4.2742505949867224</v>
      </c>
      <c r="R14" s="13">
        <v>5651088</v>
      </c>
      <c r="S14" s="13">
        <v>115532</v>
      </c>
      <c r="T14" s="6">
        <v>128685</v>
      </c>
      <c r="U14" s="15">
        <f t="shared" si="4"/>
        <v>244217</v>
      </c>
      <c r="V14" s="17">
        <f t="shared" si="5"/>
        <v>4.3215925853570143</v>
      </c>
      <c r="W14" s="13">
        <v>6178278</v>
      </c>
      <c r="X14" s="3">
        <v>110661</v>
      </c>
      <c r="Y14" s="3">
        <v>117782</v>
      </c>
      <c r="Z14" s="3">
        <f t="shared" si="6"/>
        <v>228443</v>
      </c>
      <c r="AA14" s="17">
        <f t="shared" si="7"/>
        <v>3.697518952691996</v>
      </c>
      <c r="AB14" s="13">
        <v>7316620</v>
      </c>
      <c r="AC14" s="3">
        <v>585139</v>
      </c>
      <c r="AD14" s="3">
        <f>160327+119666</f>
        <v>279993</v>
      </c>
      <c r="AE14" s="3">
        <f t="shared" si="8"/>
        <v>865132</v>
      </c>
      <c r="AF14" s="17">
        <f t="shared" si="9"/>
        <v>11.824202978971165</v>
      </c>
      <c r="AG14" s="13">
        <v>9705058</v>
      </c>
      <c r="AH14" s="3">
        <v>591905</v>
      </c>
      <c r="AI14" s="3">
        <f>143487+115714</f>
        <v>259201</v>
      </c>
      <c r="AJ14" s="3">
        <f t="shared" si="10"/>
        <v>851106</v>
      </c>
      <c r="AK14" s="17">
        <f t="shared" si="11"/>
        <v>8.769715750281966</v>
      </c>
      <c r="AL14" s="3">
        <v>6713495</v>
      </c>
      <c r="AM14" s="3">
        <f>195388+381615</f>
        <v>577003</v>
      </c>
      <c r="AN14" s="3">
        <f>253906+38759</f>
        <v>292665</v>
      </c>
      <c r="AO14" s="3">
        <f t="shared" si="12"/>
        <v>869668</v>
      </c>
      <c r="AP14" s="17">
        <f t="shared" si="13"/>
        <v>12.954027671131058</v>
      </c>
      <c r="AQ14" s="3">
        <v>9431832</v>
      </c>
      <c r="AR14" s="3">
        <v>545977</v>
      </c>
      <c r="AS14" s="3">
        <v>317670</v>
      </c>
      <c r="AT14" s="3">
        <f t="shared" si="14"/>
        <v>863647</v>
      </c>
      <c r="AU14" s="17">
        <f t="shared" si="15"/>
        <v>9.1567258619534364</v>
      </c>
      <c r="AV14" s="3">
        <v>7417080</v>
      </c>
      <c r="AW14" s="3"/>
      <c r="AX14" s="3"/>
      <c r="AY14" s="3"/>
      <c r="AZ14" s="3"/>
    </row>
    <row r="15" spans="1:52" ht="15.75" x14ac:dyDescent="0.25">
      <c r="A15" s="2">
        <v>13</v>
      </c>
      <c r="B15" s="1" t="s">
        <v>13</v>
      </c>
      <c r="C15" s="6">
        <v>802426</v>
      </c>
      <c r="D15" s="6">
        <v>113251</v>
      </c>
      <c r="E15" s="6">
        <v>58807</v>
      </c>
      <c r="F15" s="6">
        <f t="shared" si="1"/>
        <v>172058</v>
      </c>
      <c r="G15" s="10">
        <f t="shared" si="16"/>
        <v>21.442226448295543</v>
      </c>
      <c r="H15" s="6">
        <v>1858699</v>
      </c>
      <c r="I15" s="13">
        <v>110241</v>
      </c>
      <c r="J15" s="6">
        <f>20849+47408</f>
        <v>68257</v>
      </c>
      <c r="K15" s="6">
        <f t="shared" si="2"/>
        <v>178498</v>
      </c>
      <c r="L15" s="10">
        <f t="shared" si="17"/>
        <v>9.6033838722676457</v>
      </c>
      <c r="M15" s="13">
        <v>1335711</v>
      </c>
      <c r="N15" s="3">
        <v>260899</v>
      </c>
      <c r="O15" s="6">
        <v>62579</v>
      </c>
      <c r="P15" s="15">
        <f t="shared" si="0"/>
        <v>351630</v>
      </c>
      <c r="Q15" s="17">
        <f t="shared" si="3"/>
        <v>26.32530539914697</v>
      </c>
      <c r="R15" s="13">
        <v>1054951</v>
      </c>
      <c r="S15" s="13">
        <v>289051</v>
      </c>
      <c r="T15" s="6">
        <v>60070</v>
      </c>
      <c r="U15" s="15">
        <f t="shared" si="4"/>
        <v>349121</v>
      </c>
      <c r="V15" s="17">
        <f t="shared" si="5"/>
        <v>33.093574962249434</v>
      </c>
      <c r="W15" s="13">
        <v>1805557</v>
      </c>
      <c r="X15" s="3">
        <v>601195</v>
      </c>
      <c r="Y15" s="3">
        <v>56739</v>
      </c>
      <c r="Z15" s="3">
        <f t="shared" si="6"/>
        <v>657934</v>
      </c>
      <c r="AA15" s="17">
        <f t="shared" si="7"/>
        <v>36.439392386947631</v>
      </c>
      <c r="AB15" s="13">
        <v>2210225</v>
      </c>
      <c r="AC15" s="3">
        <v>132034</v>
      </c>
      <c r="AD15" s="3">
        <v>58332</v>
      </c>
      <c r="AE15" s="3">
        <f t="shared" si="8"/>
        <v>190366</v>
      </c>
      <c r="AF15" s="17">
        <f t="shared" si="9"/>
        <v>8.6129692678347229</v>
      </c>
      <c r="AG15" s="13">
        <v>1050415</v>
      </c>
      <c r="AH15" s="3">
        <v>135888</v>
      </c>
      <c r="AI15" s="3">
        <v>70436</v>
      </c>
      <c r="AJ15" s="3">
        <f t="shared" si="10"/>
        <v>206324</v>
      </c>
      <c r="AK15" s="17">
        <f t="shared" si="11"/>
        <v>19.64214143933588</v>
      </c>
      <c r="AL15" s="3">
        <v>1422722</v>
      </c>
      <c r="AM15" s="3">
        <v>135866</v>
      </c>
      <c r="AN15" s="3">
        <v>59462</v>
      </c>
      <c r="AO15" s="3">
        <f t="shared" si="12"/>
        <v>195328</v>
      </c>
      <c r="AP15" s="17">
        <f t="shared" si="13"/>
        <v>13.729175481928303</v>
      </c>
      <c r="AQ15" s="3">
        <v>1662601</v>
      </c>
      <c r="AR15" s="3">
        <v>126571</v>
      </c>
      <c r="AS15" s="3">
        <v>82042</v>
      </c>
      <c r="AT15" s="3">
        <f t="shared" si="14"/>
        <v>208613</v>
      </c>
      <c r="AU15" s="17">
        <f t="shared" si="15"/>
        <v>12.547388098527549</v>
      </c>
      <c r="AV15" s="3">
        <v>1823394</v>
      </c>
      <c r="AW15" s="3"/>
      <c r="AX15" s="3"/>
      <c r="AY15" s="3"/>
      <c r="AZ15" s="3"/>
    </row>
    <row r="16" spans="1:52" ht="15.75" x14ac:dyDescent="0.25">
      <c r="A16" s="2"/>
      <c r="B16" s="1" t="s">
        <v>19</v>
      </c>
      <c r="C16" s="6"/>
      <c r="D16" s="6">
        <v>94058</v>
      </c>
      <c r="E16" s="6"/>
      <c r="F16" s="6">
        <f t="shared" si="1"/>
        <v>94058</v>
      </c>
      <c r="G16" s="10"/>
      <c r="H16" s="6"/>
      <c r="I16" s="10"/>
      <c r="J16" s="6">
        <v>280736</v>
      </c>
      <c r="K16" s="6">
        <f t="shared" si="2"/>
        <v>280736</v>
      </c>
      <c r="L16" s="10"/>
      <c r="M16" s="13"/>
      <c r="N16" s="13"/>
      <c r="O16" s="6"/>
      <c r="P16" s="3"/>
      <c r="Q16" s="17"/>
      <c r="R16" s="13"/>
      <c r="S16" s="10"/>
      <c r="T16" s="6"/>
      <c r="U16" s="15">
        <f t="shared" si="4"/>
        <v>0</v>
      </c>
      <c r="V16" s="17"/>
      <c r="W16" s="3"/>
      <c r="X16" s="3"/>
      <c r="Y16" s="3">
        <v>332351</v>
      </c>
      <c r="Z16" s="3">
        <f t="shared" si="6"/>
        <v>332351</v>
      </c>
      <c r="AA16" s="17"/>
      <c r="AB16" s="3"/>
      <c r="AC16" s="3"/>
      <c r="AD16" s="3"/>
      <c r="AE16" s="3">
        <f t="shared" si="8"/>
        <v>0</v>
      </c>
      <c r="AF16" s="17"/>
      <c r="AG16" s="3"/>
      <c r="AH16" s="3"/>
      <c r="AI16" s="3">
        <v>229782</v>
      </c>
      <c r="AJ16" s="3">
        <f t="shared" si="10"/>
        <v>229782</v>
      </c>
      <c r="AK16" s="17"/>
      <c r="AL16" s="3"/>
      <c r="AM16" s="3"/>
      <c r="AN16" s="3">
        <v>275420</v>
      </c>
      <c r="AO16" s="3">
        <f t="shared" si="12"/>
        <v>275420</v>
      </c>
      <c r="AP16" s="17"/>
      <c r="AQ16" s="3">
        <v>16585</v>
      </c>
      <c r="AR16" s="3"/>
      <c r="AS16" s="3">
        <v>31404</v>
      </c>
      <c r="AT16" s="3">
        <f t="shared" si="14"/>
        <v>31404</v>
      </c>
      <c r="AU16" s="17">
        <f t="shared" si="15"/>
        <v>189.35182393729272</v>
      </c>
      <c r="AV16" s="3"/>
      <c r="AW16" s="3"/>
      <c r="AX16" s="3"/>
      <c r="AY16" s="3"/>
      <c r="AZ16" s="3"/>
    </row>
    <row r="17" spans="1:52" x14ac:dyDescent="0.25">
      <c r="A17" s="3"/>
      <c r="B17" s="4" t="s">
        <v>15</v>
      </c>
      <c r="C17" s="4">
        <f>SUM(C4:C16)</f>
        <v>33464096</v>
      </c>
      <c r="D17" s="4">
        <f>SUM(D4:D16)</f>
        <v>2604901</v>
      </c>
      <c r="E17" s="4">
        <f>SUM(E4:E16)</f>
        <v>1385582</v>
      </c>
      <c r="F17" s="4">
        <f>SUM(F4:F16)</f>
        <v>3990483</v>
      </c>
      <c r="G17" s="10">
        <f t="shared" si="16"/>
        <v>11.924669950743628</v>
      </c>
      <c r="H17" s="4">
        <f>SUM(H4:H16)</f>
        <v>38038201</v>
      </c>
      <c r="I17" s="12">
        <f>SUM(I4:I16)</f>
        <v>2591886</v>
      </c>
      <c r="J17" s="4">
        <f>SUM(J4:J16)</f>
        <v>1880814</v>
      </c>
      <c r="K17" s="4">
        <f>SUM(K4:K16)</f>
        <v>4472700</v>
      </c>
      <c r="L17" s="12">
        <f>K17*100/H17</f>
        <v>11.75844251940306</v>
      </c>
      <c r="M17" s="14">
        <f>SUM(M4:M16)</f>
        <v>38315233</v>
      </c>
      <c r="N17" s="14">
        <f>SUM(N4:N16)</f>
        <v>2859501</v>
      </c>
      <c r="O17" s="4">
        <f>SUM(O4:O15)</f>
        <v>1551436</v>
      </c>
      <c r="P17" s="14">
        <f>SUM(P4:P16)</f>
        <v>4695896</v>
      </c>
      <c r="Q17" s="12">
        <f t="shared" si="3"/>
        <v>12.255950524951785</v>
      </c>
      <c r="R17" s="14">
        <f>SUM(R4:R16)</f>
        <v>42316226</v>
      </c>
      <c r="S17" s="14">
        <f>SUM(S4:S16)</f>
        <v>3144460</v>
      </c>
      <c r="T17" s="4">
        <f>SUM(T4:T15)</f>
        <v>1790029</v>
      </c>
      <c r="U17" s="14">
        <f t="shared" si="4"/>
        <v>4934489</v>
      </c>
      <c r="V17" s="12">
        <f t="shared" si="5"/>
        <v>11.660985551972427</v>
      </c>
      <c r="W17" s="14">
        <f>SUM(W4:W16)</f>
        <v>43882752</v>
      </c>
      <c r="X17" s="4">
        <f>SUM(X4:X16)</f>
        <v>3432089</v>
      </c>
      <c r="Y17" s="4">
        <f>SUM(Y4:Y16)</f>
        <v>1824594</v>
      </c>
      <c r="Z17" s="4">
        <f t="shared" si="6"/>
        <v>5256683</v>
      </c>
      <c r="AA17" s="12">
        <f t="shared" si="7"/>
        <v>11.978927392703174</v>
      </c>
      <c r="AB17" s="14">
        <f>SUM(AB4:AB16)</f>
        <v>48138614</v>
      </c>
      <c r="AC17" s="4">
        <f>SUM(AC4:AC16)</f>
        <v>3290209</v>
      </c>
      <c r="AD17" s="4">
        <f>SUM(AD4:AD16)</f>
        <v>1842038</v>
      </c>
      <c r="AE17" s="4">
        <f t="shared" si="8"/>
        <v>5132247</v>
      </c>
      <c r="AF17" s="12">
        <f t="shared" si="9"/>
        <v>10.661393367079492</v>
      </c>
      <c r="AG17" s="14">
        <f>SUM(AG4:AG16)</f>
        <v>46668229</v>
      </c>
      <c r="AH17" s="4">
        <f>SUM(AH4:AH16)</f>
        <v>3347709</v>
      </c>
      <c r="AI17" s="4">
        <f>SUM(AI4:AI16)</f>
        <v>1966192</v>
      </c>
      <c r="AJ17" s="4">
        <f t="shared" si="10"/>
        <v>5313901</v>
      </c>
      <c r="AK17" s="12">
        <f t="shared" si="11"/>
        <v>11.386549508874657</v>
      </c>
      <c r="AL17" s="4">
        <f>SUM(AL4:AL16)</f>
        <v>50034053</v>
      </c>
      <c r="AM17" s="4">
        <f>SUM(AM4:AM16)</f>
        <v>3323584</v>
      </c>
      <c r="AN17" s="4">
        <f>SUM(AN4:AN16)</f>
        <v>1985528</v>
      </c>
      <c r="AO17" s="4">
        <f t="shared" si="12"/>
        <v>5309112</v>
      </c>
      <c r="AP17" s="12">
        <f t="shared" si="13"/>
        <v>10.610997274196436</v>
      </c>
      <c r="AQ17" s="4">
        <f>SUM(AQ4:AQ16)</f>
        <v>51481310</v>
      </c>
      <c r="AR17" s="4">
        <f>SUM(AR4:AR16)</f>
        <v>3178579</v>
      </c>
      <c r="AS17" s="4">
        <f>SUM(AS4:AS16)</f>
        <v>1888328</v>
      </c>
      <c r="AT17" s="4">
        <f>SUM(AT4:AT16)</f>
        <v>5066907</v>
      </c>
      <c r="AU17" s="12">
        <f t="shared" si="15"/>
        <v>9.8422262370557387</v>
      </c>
      <c r="AV17" s="4">
        <f>SUM(AV4:AV16)</f>
        <v>42877937</v>
      </c>
      <c r="AW17" s="3"/>
      <c r="AX17" s="3"/>
      <c r="AY17" s="3"/>
      <c r="AZ17" s="3"/>
    </row>
  </sheetData>
  <mergeCells count="12">
    <mergeCell ref="AV2:AZ2"/>
    <mergeCell ref="AQ2:AU2"/>
    <mergeCell ref="R2:V2"/>
    <mergeCell ref="W2:AA2"/>
    <mergeCell ref="AB2:AF2"/>
    <mergeCell ref="AG2:AK2"/>
    <mergeCell ref="AL2:AP2"/>
    <mergeCell ref="A2:B2"/>
    <mergeCell ref="C2:E2"/>
    <mergeCell ref="B1:J1"/>
    <mergeCell ref="H2:L2"/>
    <mergeCell ref="M2:Q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2026-02-03T10:58:00Z</dcterms:modified>
</cp:coreProperties>
</file>